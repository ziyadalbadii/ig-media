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جدول المحتوى" sheetId="1" state="visible" r:id="rId1"/>
  </sheets>
  <definedNames>
    <definedName name="_xlnm._FilterDatabase" localSheetId="0" hidden="1">'جدول المحتوى'!$A$4:$I$15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1A33"/>
      <sz val="16"/>
    </font>
    <font>
      <name val="Arial"/>
      <charset val="1"/>
      <family val="0"/>
      <color rgb="FF4F638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1155CC"/>
      <sz val="11"/>
      <u val="single"/>
    </font>
    <font>
      <name val="Arial"/>
      <charset val="1"/>
      <family val="0"/>
      <b val="1"/>
      <color rgb="FF0B1A33"/>
      <sz val="12"/>
    </font>
    <font>
      <name val="Arial"/>
      <charset val="1"/>
      <family val="0"/>
      <b val="1"/>
      <sz val="11"/>
    </font>
    <font>
      <name val="Arial"/>
      <charset val="1"/>
      <family val="0"/>
      <color rgb="FF4F6386"/>
      <sz val="9"/>
    </font>
  </fonts>
  <fills count="3">
    <fill>
      <patternFill/>
    </fill>
    <fill>
      <patternFill patternType="gray125"/>
    </fill>
    <fill>
      <patternFill patternType="solid">
        <fgColor rgb="FF0B1A33"/>
        <bgColor rgb="FF003300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0B1A33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fgColor rgb="FFEAF1E0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>
          <bgColor rgb="FFD9F2E1"/>
        </patternFill>
      </fill>
    </dxf>
    <dxf>
      <fill>
        <patternFill>
          <bgColor rgb="FFDCE8F7"/>
        </patternFill>
      </fill>
    </dxf>
    <dxf>
      <fill>
        <patternFill>
          <bgColor rgb="FFEAF1E0"/>
        </patternFill>
      </fill>
    </dxf>
    <dxf>
      <fill>
        <patternFill>
          <bgColor rgb="FFFFF3D6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DCE8F7"/>
      <rgbColor rgb="FF660066"/>
      <rgbColor rgb="FFFF8080"/>
      <rgbColor rgb="FF1155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E0"/>
      <rgbColor rgb="FFD9F2E1"/>
      <rgbColor rgb="FFF3F4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386"/>
      <rgbColor rgb="FF969696"/>
      <rgbColor rgb="FF0B1A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laude.ai/code/artifact/74408b5c-eda3-4bda-b5ec-063fb5930305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25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13" customWidth="1" style="15" min="2" max="2"/>
    <col width="11" customWidth="1" style="15" min="3" max="3"/>
    <col width="13" customWidth="1" style="15" min="4" max="4"/>
    <col width="58" customWidth="1" style="15" min="5" max="5"/>
    <col width="11" customWidth="1" style="15" min="6" max="6"/>
    <col width="12" customWidth="1" style="15" min="7" max="7"/>
    <col width="14" customWidth="1" style="15" min="8" max="8"/>
    <col width="44" customWidth="1" style="15" min="9" max="9"/>
  </cols>
  <sheetData>
    <row r="1" ht="18" customHeight="1" s="16">
      <c r="A1" s="17" t="inlineStr">
        <is>
          <t>جدول محتوى إنستقرام @ziyadalbadi</t>
        </is>
      </c>
    </row>
    <row r="2" ht="15" customHeight="1" s="16">
      <c r="A2" s="18" t="inlineStr">
        <is>
          <t>آخر تحديث: 12 أكتوبر 2026 · وقت النشر موحّد الساعة 5 العصر كل يوم · عدّل عمود "الحالة" من القائمة، واكتب ملاحظاتك في عمود "ملاحظات".</t>
        </is>
      </c>
    </row>
    <row r="4" ht="30" customHeight="1" s="16">
      <c r="A4" s="19" t="inlineStr">
        <is>
          <t>#</t>
        </is>
      </c>
      <c r="B4" s="19" t="inlineStr">
        <is>
          <t>التاريخ</t>
        </is>
      </c>
      <c r="C4" s="19" t="inlineStr">
        <is>
          <t>اليوم</t>
        </is>
      </c>
      <c r="D4" s="19" t="inlineStr">
        <is>
          <t>الوقت (مسقط)</t>
        </is>
      </c>
      <c r="E4" s="19" t="inlineStr">
        <is>
          <t>المحتوى</t>
        </is>
      </c>
      <c r="F4" s="19" t="inlineStr">
        <is>
          <t>النوع</t>
        </is>
      </c>
      <c r="G4" s="19" t="inlineStr">
        <is>
          <t>عدد الشرائح</t>
        </is>
      </c>
      <c r="H4" s="19" t="inlineStr">
        <is>
          <t>الحالة</t>
        </is>
      </c>
      <c r="I4" s="19" t="inlineStr">
        <is>
          <t>ملاحظات</t>
        </is>
      </c>
    </row>
    <row r="5" ht="33.75" customHeight="1" s="16">
      <c r="A5" s="23" t="n">
        <v>1</v>
      </c>
      <c r="B5" s="21" t="n">
        <v>46305</v>
      </c>
      <c r="C5" s="23" t="inlineStr">
        <is>
          <t>السبت</t>
        </is>
      </c>
      <c r="D5" s="23" t="inlineStr">
        <is>
          <t>5:00 م</t>
        </is>
      </c>
      <c r="E5" s="22" t="inlineStr">
        <is>
          <t>3 أدوات مجانية تغنيك عن المدفوعة</t>
        </is>
      </c>
      <c r="F5" s="23" t="inlineStr">
        <is>
          <t>كاروسل</t>
        </is>
      </c>
      <c r="G5" s="23" t="n">
        <v>5</v>
      </c>
      <c r="H5" s="23" t="inlineStr">
        <is>
          <t>منشور</t>
        </is>
      </c>
      <c r="I5" s="22" t="inlineStr">
        <is>
          <t>نزل 5:17 العصر: https://www.instagram.com/p/DeT2Q92Fbv3/</t>
        </is>
      </c>
    </row>
    <row r="6" ht="33.75" customHeight="1" s="16">
      <c r="A6" s="23" t="n">
        <v>2</v>
      </c>
      <c r="B6" s="21" t="n">
        <v>46306</v>
      </c>
      <c r="C6" s="23" t="inlineStr">
        <is>
          <t>الأحد</t>
        </is>
      </c>
      <c r="D6" s="23" t="inlineStr">
        <is>
          <t>5:00 م</t>
        </is>
      </c>
      <c r="E6" s="22" t="inlineStr">
        <is>
          <t>الشحن السريع للسيارة الكهربائية صار أغلى من البنزين</t>
        </is>
      </c>
      <c r="F6" s="23" t="inlineStr">
        <is>
          <t>كاروسل</t>
        </is>
      </c>
      <c r="G6" s="23" t="n">
        <v>8</v>
      </c>
      <c r="H6" s="23" t="inlineStr">
        <is>
          <t>منشور</t>
        </is>
      </c>
      <c r="I6" s="22" t="inlineStr">
        <is>
          <t>نزل 5:04 العصر: https://www.instagram.com/p/DeWuREyDGWc/</t>
        </is>
      </c>
    </row>
    <row r="7" ht="33.75" customHeight="1" s="16">
      <c r="A7" s="23" t="n">
        <v>3</v>
      </c>
      <c r="B7" s="21" t="n"/>
      <c r="C7" s="23" t="n"/>
      <c r="D7" s="23" t="n"/>
      <c r="E7" s="22" t="inlineStr">
        <is>
          <t>ريل المنطقة الاقتصادية للذكاء الاصطناعي في عُمان (النسخة 8، الصوت الثاني)</t>
        </is>
      </c>
      <c r="F7" s="23" t="inlineStr">
        <is>
          <t>ريل</t>
        </is>
      </c>
      <c r="G7" s="23" t="n"/>
      <c r="H7" s="23" t="inlineStr">
        <is>
          <t>جاهز</t>
        </is>
      </c>
      <c r="I7" s="22" t="inlineStr">
        <is>
          <t>ما انجدول للحين</t>
        </is>
      </c>
    </row>
    <row r="8" ht="33.75" customHeight="1" s="16">
      <c r="A8" s="23" t="n">
        <v>4</v>
      </c>
      <c r="B8" s="21" t="n"/>
      <c r="C8" s="23" t="n"/>
      <c r="D8" s="23" t="n"/>
      <c r="E8" s="22" t="inlineStr">
        <is>
          <t>ملف خطة الـ30 ريل</t>
        </is>
      </c>
      <c r="F8" s="23" t="inlineStr">
        <is>
          <t>ملف PDF</t>
        </is>
      </c>
      <c r="G8" s="23" t="n"/>
      <c r="H8" s="23" t="inlineStr">
        <is>
          <t>جاهز</t>
        </is>
      </c>
      <c r="I8" s="22" t="n"/>
    </row>
    <row r="9" ht="33.75" customHeight="1" s="16">
      <c r="A9" s="23" t="n">
        <v>5</v>
      </c>
      <c r="B9" s="21" t="n">
        <v>46307</v>
      </c>
      <c r="C9" s="23" t="inlineStr">
        <is>
          <t>الاثنين</t>
        </is>
      </c>
      <c r="D9" s="23" t="inlineStr">
        <is>
          <t>5:00 م</t>
        </is>
      </c>
      <c r="E9" s="22" t="inlineStr">
        <is>
          <t>ملخص أسبوع الذكاء الاصطناعي (العدد 1)</t>
        </is>
      </c>
      <c r="F9" s="23" t="inlineStr">
        <is>
          <t>كاروسل</t>
        </is>
      </c>
      <c r="G9" s="23" t="n">
        <v>15</v>
      </c>
      <c r="H9" s="23" t="inlineStr">
        <is>
          <t>منشور</t>
        </is>
      </c>
      <c r="I9" s="24" t="inlineStr">
        <is>
          <t>نزل يدويًا 12:39 الظهر: https://www.instagram.com/p/DeY0xfwCusY/</t>
        </is>
      </c>
    </row>
    <row r="10" ht="33.75" customHeight="1" s="16">
      <c r="A10" s="23" t="n">
        <v>6</v>
      </c>
      <c r="B10" s="21" t="n">
        <v>46307</v>
      </c>
      <c r="C10" s="23" t="inlineStr">
        <is>
          <t>الاثنين</t>
        </is>
      </c>
      <c r="D10" s="23" t="inlineStr">
        <is>
          <t>6:23 م</t>
        </is>
      </c>
      <c r="E10" s="22" t="inlineStr">
        <is>
          <t>ريل ملخص أسبوع الذكاء الاصطناعي (العدد 1)</t>
        </is>
      </c>
      <c r="F10" s="23" t="inlineStr">
        <is>
          <t>ريل</t>
        </is>
      </c>
      <c r="G10" s="23" t="n"/>
      <c r="H10" s="23" t="inlineStr">
        <is>
          <t>منشور</t>
        </is>
      </c>
      <c r="I10" s="22" t="inlineStr">
        <is>
          <t>نزل يدويًا بموسيقى من إنستقرام: https://www.instagram.com/reel/DeZb9q2KydT/</t>
        </is>
      </c>
    </row>
    <row r="11" ht="33.75" customHeight="1" s="16">
      <c r="A11" s="23" t="n"/>
      <c r="B11" s="21" t="n"/>
      <c r="C11" s="23" t="n"/>
      <c r="D11" s="23" t="n"/>
      <c r="E11" s="22" t="n"/>
      <c r="F11" s="23" t="n"/>
      <c r="G11" s="23" t="n"/>
      <c r="H11" s="23" t="n"/>
      <c r="I11" s="22" t="n"/>
    </row>
    <row r="12" ht="33.75" customHeight="1" s="16">
      <c r="A12" s="23" t="n"/>
      <c r="B12" s="21" t="n"/>
      <c r="C12" s="23" t="n"/>
      <c r="D12" s="23" t="n"/>
      <c r="E12" s="22" t="n"/>
      <c r="F12" s="23" t="n"/>
      <c r="G12" s="23" t="n"/>
      <c r="H12" s="23" t="n"/>
      <c r="I12" s="22" t="n"/>
    </row>
    <row r="13" ht="33.75" customHeight="1" s="16">
      <c r="A13" s="23" t="n"/>
      <c r="B13" s="21" t="n"/>
      <c r="C13" s="23" t="n"/>
      <c r="D13" s="23" t="n"/>
      <c r="E13" s="22" t="n"/>
      <c r="F13" s="23" t="n"/>
      <c r="G13" s="23" t="n"/>
      <c r="H13" s="23" t="n"/>
      <c r="I13" s="22" t="n"/>
    </row>
    <row r="14" ht="33.75" customHeight="1" s="16">
      <c r="A14" s="23" t="n"/>
      <c r="B14" s="21" t="n"/>
      <c r="C14" s="23" t="n"/>
      <c r="D14" s="23" t="n"/>
      <c r="E14" s="22" t="n"/>
      <c r="F14" s="23" t="n"/>
      <c r="G14" s="23" t="n"/>
      <c r="H14" s="23" t="n"/>
      <c r="I14" s="22" t="n"/>
    </row>
    <row r="15" ht="33.75" customHeight="1" s="16">
      <c r="A15" s="23" t="n"/>
      <c r="B15" s="21" t="n"/>
      <c r="C15" s="23" t="n"/>
      <c r="D15" s="23" t="n"/>
      <c r="E15" s="22" t="n"/>
      <c r="F15" s="23" t="n"/>
      <c r="G15" s="23" t="n"/>
      <c r="H15" s="23" t="n"/>
      <c r="I15" s="22" t="n"/>
    </row>
    <row r="18" ht="15" customHeight="1" s="16">
      <c r="E18" s="25" t="inlineStr">
        <is>
          <t>ملخص الحالة</t>
        </is>
      </c>
    </row>
    <row r="19" ht="15" customHeight="1" s="16">
      <c r="E19" s="26" t="inlineStr">
        <is>
          <t>منشور</t>
        </is>
      </c>
      <c r="F19" s="27">
        <f>COUNTIF($H$5:$H$35,E19)</f>
        <v/>
      </c>
    </row>
    <row r="20" ht="15" customHeight="1" s="16">
      <c r="E20" s="26" t="inlineStr">
        <is>
          <t>مجدول</t>
        </is>
      </c>
      <c r="F20" s="27">
        <f>COUNTIF($H$5:$H$35,E20)</f>
        <v/>
      </c>
    </row>
    <row r="21" ht="15" customHeight="1" s="16">
      <c r="E21" s="26" t="inlineStr">
        <is>
          <t>جاهز</t>
        </is>
      </c>
      <c r="F21" s="27">
        <f>COUNTIF($H$5:$H$35,E21)</f>
        <v/>
      </c>
    </row>
    <row r="22" ht="15" customHeight="1" s="16">
      <c r="E22" s="26" t="inlineStr">
        <is>
          <t>قيد التصميم</t>
        </is>
      </c>
      <c r="F22" s="27">
        <f>COUNTIF($H$5:$H$35,E22)</f>
        <v/>
      </c>
    </row>
    <row r="23" ht="15" customHeight="1" s="16">
      <c r="E23" s="26" t="inlineStr">
        <is>
          <t>ما تصمّم</t>
        </is>
      </c>
      <c r="F23" s="27">
        <f>COUNTIF($H$5:$H$35,E23)</f>
        <v/>
      </c>
    </row>
    <row r="24" ht="15" customHeight="1" s="16">
      <c r="E24" s="28" t="inlineStr">
        <is>
          <t>المجموع</t>
        </is>
      </c>
      <c r="F24" s="29">
        <f>SUM(F19:F23)</f>
        <v/>
      </c>
    </row>
    <row r="25" ht="15" customHeight="1" s="16">
      <c r="E25" s="30" t="inlineStr">
        <is>
          <t>العدّ يشمل الصفوف من 5 إلى 35، فأي صف جديد تضيفه تحت الجدول ينحسب تلقائيًا.</t>
        </is>
      </c>
    </row>
  </sheetData>
  <autoFilter ref="A4:I15"/>
  <conditionalFormatting sqref="A5:I35">
    <cfRule type="expression" rank="0" priority="2" equalAverage="0" aboveAverage="0" dxfId="7" text="" percent="0" bottom="0">
      <formula>$H5="منشور"</formula>
    </cfRule>
    <cfRule type="expression" rank="0" priority="3" equalAverage="0" aboveAverage="0" dxfId="8" text="" percent="0" bottom="0">
      <formula>$H5="مجدول"</formula>
    </cfRule>
    <cfRule type="expression" rank="0" priority="4" equalAverage="0" aboveAverage="0" dxfId="9" text="" percent="0" bottom="0">
      <formula>$H5="جاهز"</formula>
    </cfRule>
    <cfRule type="expression" rank="0" priority="5" equalAverage="0" aboveAverage="0" dxfId="10" text="" percent="0" bottom="0">
      <formula>$H5="قيد التصميم"</formula>
    </cfRule>
    <cfRule type="expression" rank="0" priority="6" equalAverage="0" aboveAverage="0" dxfId="11" text="" percent="0" bottom="0">
      <formula>$H5="ما تصمّم"</formula>
    </cfRule>
  </conditionalFormatting>
  <dataValidations count="1">
    <dataValidation sqref="H5:H35" showDropDown="0" showInputMessage="0" showErrorMessage="0" allowBlank="1" type="list" errorStyle="stop" operator="between">
      <formula1>"منشور,مجدول,جاهز,قيد التصميم,ما تصمّم"</formula1>
      <formula2>0</formula2>
    </dataValidation>
  </dataValidations>
  <hyperlinks>
    <hyperlink xmlns:r="http://schemas.openxmlformats.org/officeDocument/2006/relationships" ref="I9" display="رابط المستند" r:id="rId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2026-10-10T10:08:45Z</dcterms:created>
  <dcterms:modified xmlns:dcterms="http://purl.org/dc/terms/" xmlns:xsi="http://www.w3.org/2001/XMLSchema-instance" xsi:type="dcterms:W3CDTF">2026-10-12T14:35:10Z</dcterms:modified>
  <cp:revision>0</cp:revision>
</cp:coreProperties>
</file>